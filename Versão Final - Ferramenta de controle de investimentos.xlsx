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Bootcamp excel + ia\"/>
    </mc:Choice>
  </mc:AlternateContent>
  <xr:revisionPtr revIDLastSave="0" documentId="13_ncr:1_{9FE62B7C-4A63-4037-827A-FF5E2355BFFD}" xr6:coauthVersionLast="47" xr6:coauthVersionMax="47" xr10:uidLastSave="{00000000-0000-0000-0000-000000000000}"/>
  <bookViews>
    <workbookView xWindow="-120" yWindow="-120" windowWidth="20730" windowHeight="11040" xr2:uid="{FB0EC9F1-F708-4E18-8D7C-8A1CD4FA995E}"/>
  </bookViews>
  <sheets>
    <sheet name="Simulador" sheetId="2" r:id="rId1"/>
    <sheet name="Tabela de apoio para perfis e %" sheetId="3" r:id="rId2"/>
    <sheet name="Pergunta de negócio" sheetId="1" r:id="rId3"/>
  </sheets>
  <definedNames>
    <definedName name="aporte">Simulador!$E$19</definedName>
    <definedName name="patrimonio">Simulador!$E$22</definedName>
    <definedName name="qtd_anos">Simulador!$E$20</definedName>
    <definedName name="rendimento_carteira">Simulador!$E$15</definedName>
    <definedName name="salario">Simulador!$E$14</definedName>
    <definedName name="sugestao_investimento">Simulador!$E$16</definedName>
    <definedName name="taxa_mensal">Simulador!$E$21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2" i="2" l="1"/>
  <c r="D94" i="2"/>
  <c r="C91" i="2"/>
  <c r="C92" i="2"/>
  <c r="C94" i="2"/>
  <c r="C28" i="2"/>
  <c r="C29" i="2"/>
  <c r="C30" i="2"/>
  <c r="C31" i="2"/>
  <c r="C27" i="2"/>
  <c r="D86" i="2"/>
  <c r="D85" i="2"/>
  <c r="D84" i="2"/>
  <c r="D83" i="2"/>
  <c r="D82" i="2"/>
  <c r="C83" i="2"/>
  <c r="C84" i="2"/>
  <c r="C85" i="2"/>
  <c r="C86" i="2"/>
  <c r="B16" i="3"/>
  <c r="B17" i="3"/>
  <c r="B18" i="3"/>
  <c r="B19" i="3"/>
  <c r="B20" i="3"/>
  <c r="B9" i="3"/>
  <c r="B10" i="3"/>
  <c r="B11" i="3"/>
  <c r="B12" i="3"/>
  <c r="B13" i="3"/>
  <c r="B14" i="3"/>
  <c r="B15" i="3"/>
  <c r="B4" i="3"/>
  <c r="B5" i="3"/>
  <c r="B6" i="3"/>
  <c r="D50" i="2" s="1"/>
  <c r="B7" i="3"/>
  <c r="B8" i="3"/>
  <c r="B3" i="3"/>
  <c r="D51" i="2" s="1"/>
  <c r="D46" i="2"/>
  <c r="E22" i="2"/>
  <c r="E23" i="2" s="1"/>
  <c r="E16" i="2"/>
  <c r="D28" i="2"/>
  <c r="E28" i="2" s="1"/>
  <c r="D29" i="2"/>
  <c r="E29" i="2" s="1"/>
  <c r="D30" i="2"/>
  <c r="E30" i="2" s="1"/>
  <c r="D31" i="2"/>
  <c r="E31" i="2" s="1"/>
  <c r="D27" i="2"/>
  <c r="E27" i="2" s="1"/>
  <c r="H4" i="3" l="1"/>
  <c r="D52" i="2"/>
  <c r="E52" i="2" s="1"/>
  <c r="D54" i="2"/>
  <c r="D53" i="2"/>
  <c r="D49" i="2"/>
  <c r="E49" i="2" s="1"/>
  <c r="D93" i="2"/>
  <c r="C90" i="2"/>
  <c r="D92" i="2"/>
  <c r="C93" i="2"/>
  <c r="D90" i="2"/>
  <c r="D91" i="2"/>
  <c r="E53" i="2"/>
  <c r="E51" i="2"/>
  <c r="E54" i="2"/>
  <c r="E50" i="2"/>
</calcChain>
</file>

<file path=xl/sharedStrings.xml><?xml version="1.0" encoding="utf-8"?>
<sst xmlns="http://schemas.openxmlformats.org/spreadsheetml/2006/main" count="100" uniqueCount="56">
  <si>
    <t>Objetivo: Criar um simulador simples de investimento</t>
  </si>
  <si>
    <t>Quanto investir por mês?</t>
  </si>
  <si>
    <t>Por quantos anos tem que investir?</t>
  </si>
  <si>
    <t>Qual a taxa de rendimento mensal?</t>
  </si>
  <si>
    <t>Quanto de patrimônio acumulado?</t>
  </si>
  <si>
    <t>Quanto são os dividendos mensais?</t>
  </si>
  <si>
    <t>INVESTIMENTO MENSAL</t>
  </si>
  <si>
    <t>Patrimônio acumulado?</t>
  </si>
  <si>
    <t>Dividendos mensais?</t>
  </si>
  <si>
    <t>Taxa de rendimento mensal?</t>
  </si>
  <si>
    <t>Por quantos anos investir?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</si>
  <si>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</si>
  <si>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</si>
  <si>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</si>
  <si>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</si>
  <si>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</si>
  <si>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</si>
  <si>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Salário</t>
  </si>
  <si>
    <t>Rendimento carteira</t>
  </si>
  <si>
    <t>CONFIGURAÇÕES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</si>
  <si>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</si>
  <si>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</si>
  <si>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</si>
  <si>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</si>
  <si>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</si>
  <si>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</si>
  <si>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</si>
  <si>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</si>
  <si>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</si>
  <si>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</si>
  <si>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</si>
  <si>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</si>
  <si>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</si>
  <si>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</si>
  <si>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</si>
  <si>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Agressivo</t>
  </si>
  <si>
    <t>Moderado-TIJOLO</t>
  </si>
  <si>
    <t>Sugestão de investimento (30% do salário)</t>
  </si>
  <si>
    <t>Intervalos nomeados</t>
  </si>
  <si>
    <t>Tabelas de apoio</t>
  </si>
  <si>
    <t>Dividendo/mês</t>
  </si>
  <si>
    <t>SELECIONE O SEU PERFIL INVESTIDOR</t>
  </si>
  <si>
    <t>Tipo de FII</t>
  </si>
  <si>
    <t>0 anos</t>
  </si>
  <si>
    <t>2 anos</t>
  </si>
  <si>
    <t>5 anos</t>
  </si>
  <si>
    <t>10 anos</t>
  </si>
  <si>
    <t>20 anos</t>
  </si>
  <si>
    <t>30 anos</t>
  </si>
  <si>
    <t>Prazo</t>
  </si>
  <si>
    <t>Patrimônio acumulado</t>
  </si>
  <si>
    <t>Total investido</t>
  </si>
  <si>
    <t>Preencha os campos em bege. O restante é calculado.</t>
  </si>
  <si>
    <t>Período</t>
  </si>
  <si>
    <t>Patrimônio Acumulado</t>
  </si>
  <si>
    <t>Dividendos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</si>
</sst>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 Semibold"/>
      <family val="2"/>
    </font>
    <font>
      <sz val="12"/>
      <name val="Segoe UI"/>
      <family val="2"/>
    </font>
    <font>
      <b/>
      <sz val="11"/>
      <color rgb="FFFFEB9C"/>
      <name val="Segoe UI"/>
      <family val="2"/>
    </font>
    <font>
      <sz val="11"/>
      <name val="Aptos Narrow"/>
      <family val="2"/>
      <scheme val="minor"/>
    </font>
    <font>
      <sz val="11"/>
      <color theme="0"/>
      <name val="Segoe UI"/>
      <family val="2"/>
    </font>
    <font>
      <b/>
      <sz val="18"/>
      <color theme="0"/>
      <name val="Segoe UI"/>
      <family val="2"/>
    </font>
    <font>
      <b/>
      <sz val="12"/>
      <color rgb="FF0B3D2E"/>
      <name val="Segoe UI"/>
      <family val="2"/>
    </font>
    <font>
      <b/>
      <sz val="12"/>
      <color theme="0"/>
      <name val="Segoe UI Semibold"/>
      <family val="2"/>
    </font>
    <font>
      <sz val="12"/>
      <color theme="0"/>
      <name val="Segoe UI Semibold"/>
      <family val="2"/>
    </font>
    <font>
      <b/>
      <sz val="14"/>
      <color theme="0"/>
      <name val="Segoe UI"/>
      <family val="2"/>
    </font>
    <font>
      <sz val="12"/>
      <color rgb="FF0B3D2E"/>
      <name val="Segoe UI"/>
      <family val="2"/>
    </font>
    <font>
      <sz val="11"/>
      <color rgb="FF0B3D2E"/>
      <name val="Aptos Narrow"/>
      <family val="2"/>
      <scheme val="minor"/>
    </font>
    <font>
      <b/>
      <sz val="18"/>
      <color rgb="FFF4EDE1"/>
      <name val="Segoe UI"/>
      <family val="2"/>
    </font>
    <font>
      <b/>
      <sz val="18"/>
      <color rgb="FFF4EDE1"/>
      <name val="Segoe UI "/>
    </font>
    <font>
      <sz val="12"/>
      <color rgb="FF663300"/>
      <name val="Segoe UI"/>
      <family val="2"/>
    </font>
    <font>
      <sz val="11"/>
      <color rgb="FF9C57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0B3D2E"/>
        <bgColor indexed="64"/>
      </patternFill>
    </fill>
    <fill>
      <patternFill patternType="solid">
        <fgColor rgb="FFD9A404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C9660A"/>
        <bgColor indexed="64"/>
      </patternFill>
    </fill>
    <fill>
      <patternFill patternType="solid">
        <fgColor rgb="FFED905D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/>
      <diagonal/>
    </border>
    <border>
      <left style="medium">
        <color rgb="FFC9660A"/>
      </left>
      <right/>
      <top style="medium">
        <color rgb="FFC9660A"/>
      </top>
      <bottom/>
      <diagonal/>
    </border>
    <border>
      <left/>
      <right/>
      <top style="medium">
        <color rgb="FFC9660A"/>
      </top>
      <bottom/>
      <diagonal/>
    </border>
    <border>
      <left/>
      <right style="medium">
        <color rgb="FFC9660A"/>
      </right>
      <top style="medium">
        <color rgb="FFC9660A"/>
      </top>
      <bottom/>
      <diagonal/>
    </border>
    <border>
      <left style="medium">
        <color rgb="FFC9660A"/>
      </left>
      <right/>
      <top/>
      <bottom/>
      <diagonal/>
    </border>
    <border>
      <left/>
      <right style="medium">
        <color rgb="FFC9660A"/>
      </right>
      <top/>
      <bottom/>
      <diagonal/>
    </border>
    <border>
      <left style="medium">
        <color rgb="FFC9660A"/>
      </left>
      <right/>
      <top/>
      <bottom style="medium">
        <color rgb="FFC9660A"/>
      </bottom>
      <diagonal/>
    </border>
    <border>
      <left/>
      <right/>
      <top/>
      <bottom style="medium">
        <color rgb="FFC9660A"/>
      </bottom>
      <diagonal/>
    </border>
    <border>
      <left/>
      <right style="medium">
        <color rgb="FFC9660A"/>
      </right>
      <top/>
      <bottom style="medium">
        <color rgb="FFC9660A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2">
    <xf numFmtId="0" fontId="0" fillId="0" borderId="0" xfId="0"/>
    <xf numFmtId="0" fontId="3" fillId="3" borderId="1" xfId="0" applyFont="1" applyFill="1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0" fillId="0" borderId="19" xfId="0" applyBorder="1"/>
    <xf numFmtId="0" fontId="0" fillId="0" borderId="20" xfId="0" applyBorder="1"/>
    <xf numFmtId="0" fontId="9" fillId="8" borderId="18" xfId="2" applyFont="1" applyFill="1" applyBorder="1"/>
    <xf numFmtId="0" fontId="16" fillId="8" borderId="17" xfId="2" applyFont="1" applyFill="1" applyBorder="1" applyAlignment="1">
      <alignment horizontal="left" vertical="center" indent="1"/>
    </xf>
    <xf numFmtId="0" fontId="16" fillId="8" borderId="17" xfId="2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left" indent="1"/>
    </xf>
    <xf numFmtId="0" fontId="5" fillId="6" borderId="0" xfId="0" applyFont="1" applyFill="1" applyAlignment="1">
      <alignment horizontal="left" indent="1"/>
    </xf>
    <xf numFmtId="0" fontId="6" fillId="6" borderId="20" xfId="0" applyFont="1" applyFill="1" applyBorder="1"/>
    <xf numFmtId="0" fontId="5" fillId="6" borderId="19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left" indent="11"/>
    </xf>
    <xf numFmtId="164" fontId="17" fillId="6" borderId="0" xfId="0" applyNumberFormat="1" applyFont="1" applyFill="1" applyAlignment="1">
      <alignment horizontal="left" indent="11"/>
    </xf>
    <xf numFmtId="0" fontId="17" fillId="6" borderId="21" xfId="0" applyFont="1" applyFill="1" applyBorder="1" applyAlignment="1">
      <alignment horizontal="left" indent="11"/>
    </xf>
    <xf numFmtId="164" fontId="17" fillId="6" borderId="22" xfId="0" applyNumberFormat="1" applyFont="1" applyFill="1" applyBorder="1" applyAlignment="1">
      <alignment horizontal="left" indent="11"/>
    </xf>
    <xf numFmtId="0" fontId="14" fillId="5" borderId="2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indent="11"/>
    </xf>
    <xf numFmtId="0" fontId="4" fillId="0" borderId="0" xfId="0" applyFont="1" applyAlignment="1">
      <alignment horizontal="left"/>
    </xf>
    <xf numFmtId="164" fontId="11" fillId="0" borderId="0" xfId="0" applyNumberFormat="1" applyFont="1" applyAlignment="1">
      <alignment horizontal="left" vertical="center" indent="11"/>
    </xf>
    <xf numFmtId="164" fontId="4" fillId="0" borderId="0" xfId="0" applyNumberFormat="1" applyFont="1" applyAlignment="1">
      <alignment horizontal="left" indent="2"/>
    </xf>
    <xf numFmtId="164" fontId="11" fillId="0" borderId="0" xfId="0" applyNumberFormat="1" applyFont="1" applyAlignment="1">
      <alignment horizontal="left" indent="2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 indent="8"/>
    </xf>
    <xf numFmtId="164" fontId="11" fillId="0" borderId="0" xfId="0" applyNumberFormat="1" applyFont="1" applyAlignment="1">
      <alignment horizontal="left" vertical="center" indent="8"/>
    </xf>
    <xf numFmtId="0" fontId="10" fillId="0" borderId="0" xfId="0" applyFont="1"/>
    <xf numFmtId="164" fontId="13" fillId="6" borderId="10" xfId="0" applyNumberFormat="1" applyFont="1" applyFill="1" applyBorder="1" applyAlignment="1">
      <alignment horizontal="center" vertical="center"/>
    </xf>
    <xf numFmtId="164" fontId="21" fillId="7" borderId="13" xfId="0" applyNumberFormat="1" applyFont="1" applyFill="1" applyBorder="1" applyAlignment="1">
      <alignment horizontal="center" vertical="center"/>
    </xf>
    <xf numFmtId="10" fontId="21" fillId="7" borderId="8" xfId="1" applyNumberFormat="1" applyFont="1" applyFill="1" applyBorder="1" applyAlignment="1">
      <alignment horizontal="center" vertical="center"/>
    </xf>
    <xf numFmtId="8" fontId="13" fillId="6" borderId="8" xfId="0" applyNumberFormat="1" applyFont="1" applyFill="1" applyBorder="1" applyAlignment="1">
      <alignment horizontal="center" vertical="center"/>
    </xf>
    <xf numFmtId="8" fontId="13" fillId="6" borderId="10" xfId="0" applyNumberFormat="1" applyFont="1" applyFill="1" applyBorder="1" applyAlignment="1">
      <alignment horizontal="center" vertical="center"/>
    </xf>
    <xf numFmtId="1" fontId="21" fillId="7" borderId="8" xfId="0" applyNumberFormat="1" applyFont="1" applyFill="1" applyBorder="1" applyAlignment="1">
      <alignment horizontal="center" vertical="center"/>
    </xf>
    <xf numFmtId="10" fontId="21" fillId="7" borderId="8" xfId="0" applyNumberFormat="1" applyFont="1" applyFill="1" applyBorder="1" applyAlignment="1">
      <alignment horizontal="center" vertical="center"/>
    </xf>
    <xf numFmtId="164" fontId="17" fillId="6" borderId="20" xfId="0" applyNumberFormat="1" applyFont="1" applyFill="1" applyBorder="1" applyAlignment="1">
      <alignment horizontal="left" indent="2"/>
    </xf>
    <xf numFmtId="164" fontId="17" fillId="6" borderId="23" xfId="0" applyNumberFormat="1" applyFont="1" applyFill="1" applyBorder="1" applyAlignment="1">
      <alignment horizontal="left" indent="2"/>
    </xf>
    <xf numFmtId="164" fontId="17" fillId="6" borderId="0" xfId="0" applyNumberFormat="1" applyFont="1" applyFill="1" applyAlignment="1">
      <alignment horizontal="left" vertical="center" indent="11"/>
    </xf>
    <xf numFmtId="164" fontId="17" fillId="6" borderId="22" xfId="0" applyNumberFormat="1" applyFont="1" applyFill="1" applyBorder="1" applyAlignment="1">
      <alignment horizontal="left" vertical="center" indent="11"/>
    </xf>
    <xf numFmtId="0" fontId="12" fillId="8" borderId="16" xfId="2" applyFont="1" applyFill="1" applyBorder="1" applyAlignment="1">
      <alignment horizontal="left" vertical="center" indent="1"/>
    </xf>
    <xf numFmtId="164" fontId="5" fillId="6" borderId="0" xfId="0" applyNumberFormat="1" applyFont="1" applyFill="1" applyAlignment="1">
      <alignment horizontal="center" vertical="center"/>
    </xf>
    <xf numFmtId="9" fontId="5" fillId="6" borderId="0" xfId="0" applyNumberFormat="1" applyFont="1" applyFill="1" applyAlignment="1">
      <alignment horizontal="left" vertical="center" indent="15"/>
    </xf>
    <xf numFmtId="164" fontId="5" fillId="6" borderId="20" xfId="0" applyNumberFormat="1" applyFont="1" applyFill="1" applyBorder="1" applyAlignment="1">
      <alignment horizontal="left" vertical="center" indent="3"/>
    </xf>
    <xf numFmtId="9" fontId="5" fillId="6" borderId="22" xfId="0" applyNumberFormat="1" applyFont="1" applyFill="1" applyBorder="1" applyAlignment="1">
      <alignment horizontal="left" vertical="center" indent="15"/>
    </xf>
    <xf numFmtId="164" fontId="5" fillId="6" borderId="23" xfId="0" applyNumberFormat="1" applyFont="1" applyFill="1" applyBorder="1" applyAlignment="1">
      <alignment horizontal="left" vertical="center" indent="3"/>
    </xf>
    <xf numFmtId="0" fontId="4" fillId="5" borderId="29" xfId="0" applyFont="1" applyFill="1" applyBorder="1"/>
    <xf numFmtId="164" fontId="17" fillId="6" borderId="32" xfId="0" applyNumberFormat="1" applyFont="1" applyFill="1" applyBorder="1" applyAlignment="1">
      <alignment horizontal="left" indent="2"/>
    </xf>
    <xf numFmtId="0" fontId="14" fillId="5" borderId="30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7" fillId="8" borderId="33" xfId="0" applyFont="1" applyFill="1" applyBorder="1"/>
    <xf numFmtId="0" fontId="7" fillId="8" borderId="34" xfId="0" applyFont="1" applyFill="1" applyBorder="1" applyAlignment="1">
      <alignment horizontal="center"/>
    </xf>
    <xf numFmtId="0" fontId="7" fillId="8" borderId="34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/>
    </xf>
    <xf numFmtId="0" fontId="6" fillId="6" borderId="36" xfId="0" applyFont="1" applyFill="1" applyBorder="1"/>
    <xf numFmtId="0" fontId="6" fillId="6" borderId="0" xfId="0" applyFont="1" applyFill="1" applyAlignment="1">
      <alignment horizontal="left"/>
    </xf>
    <xf numFmtId="0" fontId="6" fillId="6" borderId="0" xfId="0" applyFont="1" applyFill="1" applyAlignment="1">
      <alignment horizontal="center" vertical="center"/>
    </xf>
    <xf numFmtId="9" fontId="6" fillId="6" borderId="37" xfId="0" applyNumberFormat="1" applyFont="1" applyFill="1" applyBorder="1" applyAlignment="1">
      <alignment horizontal="center" vertical="center"/>
    </xf>
    <xf numFmtId="0" fontId="6" fillId="6" borderId="38" xfId="0" applyFont="1" applyFill="1" applyBorder="1"/>
    <xf numFmtId="0" fontId="6" fillId="6" borderId="39" xfId="0" applyFont="1" applyFill="1" applyBorder="1" applyAlignment="1">
      <alignment horizontal="left"/>
    </xf>
    <xf numFmtId="0" fontId="6" fillId="6" borderId="39" xfId="0" applyFont="1" applyFill="1" applyBorder="1" applyAlignment="1">
      <alignment horizontal="center" vertical="center"/>
    </xf>
    <xf numFmtId="9" fontId="6" fillId="6" borderId="40" xfId="0" applyNumberFormat="1" applyFont="1" applyFill="1" applyBorder="1" applyAlignment="1">
      <alignment horizontal="center" vertical="center"/>
    </xf>
    <xf numFmtId="9" fontId="6" fillId="6" borderId="37" xfId="0" applyNumberFormat="1" applyFont="1" applyFill="1" applyBorder="1" applyAlignment="1">
      <alignment horizontal="center"/>
    </xf>
    <xf numFmtId="9" fontId="6" fillId="6" borderId="40" xfId="0" applyNumberFormat="1" applyFont="1" applyFill="1" applyBorder="1" applyAlignment="1">
      <alignment horizontal="center"/>
    </xf>
    <xf numFmtId="0" fontId="22" fillId="2" borderId="0" xfId="2" applyFont="1"/>
    <xf numFmtId="9" fontId="22" fillId="2" borderId="0" xfId="1" applyFont="1" applyFill="1"/>
    <xf numFmtId="0" fontId="19" fillId="4" borderId="4" xfId="0" applyFont="1" applyFill="1" applyBorder="1" applyAlignment="1">
      <alignment horizontal="left" vertical="center" indent="1"/>
    </xf>
    <xf numFmtId="0" fontId="19" fillId="4" borderId="6" xfId="0" applyFont="1" applyFill="1" applyBorder="1" applyAlignment="1">
      <alignment horizontal="left" vertical="center" indent="1"/>
    </xf>
    <xf numFmtId="0" fontId="19" fillId="4" borderId="5" xfId="0" applyFont="1" applyFill="1" applyBorder="1" applyAlignment="1">
      <alignment horizontal="left" vertical="center" indent="1"/>
    </xf>
    <xf numFmtId="0" fontId="12" fillId="5" borderId="27" xfId="0" applyFont="1" applyFill="1" applyBorder="1" applyAlignment="1">
      <alignment horizontal="left" vertical="center" indent="1"/>
    </xf>
    <xf numFmtId="0" fontId="12" fillId="5" borderId="28" xfId="0" applyFont="1" applyFill="1" applyBorder="1" applyAlignment="1">
      <alignment horizontal="left" vertical="center" indent="1"/>
    </xf>
    <xf numFmtId="0" fontId="8" fillId="6" borderId="11" xfId="0" applyFont="1" applyFill="1" applyBorder="1" applyAlignment="1">
      <alignment horizontal="left" indent="1"/>
    </xf>
    <xf numFmtId="0" fontId="8" fillId="6" borderId="24" xfId="0" applyFont="1" applyFill="1" applyBorder="1" applyAlignment="1">
      <alignment horizontal="left" indent="1"/>
    </xf>
    <xf numFmtId="0" fontId="8" fillId="6" borderId="12" xfId="0" applyFont="1" applyFill="1" applyBorder="1" applyAlignment="1">
      <alignment horizontal="left" indent="1"/>
    </xf>
    <xf numFmtId="0" fontId="8" fillId="6" borderId="7" xfId="0" applyFont="1" applyFill="1" applyBorder="1" applyAlignment="1">
      <alignment horizontal="left" indent="1"/>
    </xf>
    <xf numFmtId="0" fontId="8" fillId="6" borderId="25" xfId="0" applyFont="1" applyFill="1" applyBorder="1" applyAlignment="1">
      <alignment horizontal="left" indent="1"/>
    </xf>
    <xf numFmtId="0" fontId="8" fillId="6" borderId="14" xfId="0" applyFont="1" applyFill="1" applyBorder="1" applyAlignment="1">
      <alignment horizontal="left" indent="1"/>
    </xf>
    <xf numFmtId="0" fontId="13" fillId="6" borderId="7" xfId="0" applyFont="1" applyFill="1" applyBorder="1" applyAlignment="1">
      <alignment horizontal="left" indent="1"/>
    </xf>
    <xf numFmtId="0" fontId="13" fillId="6" borderId="25" xfId="0" applyFont="1" applyFill="1" applyBorder="1" applyAlignment="1">
      <alignment horizontal="left" indent="1"/>
    </xf>
    <xf numFmtId="0" fontId="13" fillId="6" borderId="14" xfId="0" applyFont="1" applyFill="1" applyBorder="1" applyAlignment="1">
      <alignment horizontal="left" indent="1"/>
    </xf>
    <xf numFmtId="0" fontId="13" fillId="6" borderId="9" xfId="0" applyFont="1" applyFill="1" applyBorder="1" applyAlignment="1">
      <alignment horizontal="left" indent="1"/>
    </xf>
    <xf numFmtId="0" fontId="13" fillId="6" borderId="26" xfId="0" applyFont="1" applyFill="1" applyBorder="1" applyAlignment="1">
      <alignment horizontal="left" indent="1"/>
    </xf>
    <xf numFmtId="0" fontId="13" fillId="6" borderId="15" xfId="0" applyFont="1" applyFill="1" applyBorder="1" applyAlignment="1">
      <alignment horizontal="left" indent="1"/>
    </xf>
    <xf numFmtId="0" fontId="20" fillId="4" borderId="4" xfId="0" applyFont="1" applyFill="1" applyBorder="1" applyAlignment="1">
      <alignment horizontal="left" vertical="center" indent="1"/>
    </xf>
    <xf numFmtId="0" fontId="20" fillId="4" borderId="6" xfId="0" applyFont="1" applyFill="1" applyBorder="1" applyAlignment="1">
      <alignment horizontal="left" vertical="center" indent="1"/>
    </xf>
    <xf numFmtId="0" fontId="20" fillId="4" borderId="5" xfId="0" applyFont="1" applyFill="1" applyBorder="1" applyAlignment="1">
      <alignment horizontal="left" vertical="center" indent="1"/>
    </xf>
    <xf numFmtId="0" fontId="8" fillId="6" borderId="11" xfId="0" applyFont="1" applyFill="1" applyBorder="1" applyAlignment="1">
      <alignment horizontal="left" vertical="center" indent="1"/>
    </xf>
    <xf numFmtId="0" fontId="8" fillId="6" borderId="24" xfId="0" applyFont="1" applyFill="1" applyBorder="1" applyAlignment="1">
      <alignment horizontal="left" vertical="center" indent="1"/>
    </xf>
    <xf numFmtId="0" fontId="8" fillId="6" borderId="12" xfId="0" applyFont="1" applyFill="1" applyBorder="1" applyAlignment="1">
      <alignment horizontal="left" vertical="center" indent="1"/>
    </xf>
    <xf numFmtId="0" fontId="8" fillId="6" borderId="7" xfId="0" applyFont="1" applyFill="1" applyBorder="1" applyAlignment="1">
      <alignment horizontal="left" vertical="center" indent="1"/>
    </xf>
    <xf numFmtId="0" fontId="8" fillId="6" borderId="25" xfId="0" applyFont="1" applyFill="1" applyBorder="1" applyAlignment="1">
      <alignment horizontal="left" vertical="center" indent="1"/>
    </xf>
    <xf numFmtId="0" fontId="8" fillId="6" borderId="14" xfId="0" applyFont="1" applyFill="1" applyBorder="1" applyAlignment="1">
      <alignment horizontal="left" vertical="center" indent="1"/>
    </xf>
    <xf numFmtId="0" fontId="13" fillId="6" borderId="9" xfId="0" applyFont="1" applyFill="1" applyBorder="1" applyAlignment="1">
      <alignment horizontal="left" vertical="center" indent="1"/>
    </xf>
    <xf numFmtId="0" fontId="13" fillId="6" borderId="26" xfId="0" applyFont="1" applyFill="1" applyBorder="1" applyAlignment="1">
      <alignment horizontal="left" vertical="center" indent="1"/>
    </xf>
    <xf numFmtId="0" fontId="13" fillId="6" borderId="15" xfId="0" applyFont="1" applyFill="1" applyBorder="1" applyAlignment="1">
      <alignment horizontal="left" vertical="center" indent="1"/>
    </xf>
    <xf numFmtId="0" fontId="6" fillId="7" borderId="0" xfId="0" applyFont="1" applyFill="1" applyAlignment="1">
      <alignment vertic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7F7F5"/>
      <color rgb="FFC9660A"/>
      <color rgb="FFD9A404"/>
      <color rgb="FFEAB304"/>
      <color rgb="FFED905D"/>
      <color rgb="FFFF983B"/>
      <color rgb="FF663300"/>
      <color rgb="FFEFBD07"/>
      <color rgb="FFEAEAEA"/>
      <color rgb="FF0B3D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50" b="1" i="0" u="none" strike="noStrike" kern="1200" spc="0" baseline="0">
                <a:solidFill>
                  <a:schemeClr val="accent2"/>
                </a:solidFill>
                <a:latin typeface="Segoe UI "/>
                <a:ea typeface="+mn-ea"/>
                <a:cs typeface="+mn-cs"/>
              </a:defRPr>
            </a:pPr>
            <a:r>
              <a:rPr lang="pt-BR" sz="1250" b="1">
                <a:solidFill>
                  <a:schemeClr val="accent2"/>
                </a:solidFill>
                <a:latin typeface="Segoe UI "/>
              </a:rPr>
              <a:t>Distribuição do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50" b="1" i="0" u="none" strike="noStrike" kern="1200" spc="0" baseline="0">
              <a:solidFill>
                <a:schemeClr val="accent2"/>
              </a:solidFill>
              <a:latin typeface="Segoe UI 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Simulador!$D$48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C966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41-443D-81CC-E72701A930D0}"/>
              </c:ext>
            </c:extLst>
          </c:dPt>
          <c:dPt>
            <c:idx val="1"/>
            <c:bubble3D val="0"/>
            <c:spPr>
              <a:solidFill>
                <a:srgbClr val="DB853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37-49B9-AE46-E5FF71A4E204}"/>
              </c:ext>
            </c:extLst>
          </c:dPt>
          <c:dPt>
            <c:idx val="2"/>
            <c:bubble3D val="0"/>
            <c:spPr>
              <a:solidFill>
                <a:srgbClr val="E8A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37-49B9-AE46-E5FF71A4E204}"/>
              </c:ext>
            </c:extLst>
          </c:dPt>
          <c:dPt>
            <c:idx val="3"/>
            <c:bubble3D val="0"/>
            <c:spPr>
              <a:solidFill>
                <a:srgbClr val="F0BC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37-49B9-AE46-E5FF71A4E204}"/>
              </c:ext>
            </c:extLst>
          </c:dPt>
          <c:dPt>
            <c:idx val="4"/>
            <c:bubble3D val="0"/>
            <c:spPr>
              <a:solidFill>
                <a:srgbClr val="A85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37-49B9-AE46-E5FF71A4E204}"/>
              </c:ext>
            </c:extLst>
          </c:dPt>
          <c:dPt>
            <c:idx val="5"/>
            <c:bubble3D val="0"/>
            <c:spPr>
              <a:solidFill>
                <a:srgbClr val="7A400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37-49B9-AE46-E5FF71A4E2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Simulador!$B$49:$B$54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Simulador!$D$49:$D$54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1-443D-81CC-E72701A93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50" b="1" i="0" u="none" strike="noStrike" kern="1200" spc="0" baseline="0">
                <a:solidFill>
                  <a:srgbClr val="D9A404"/>
                </a:solidFill>
                <a:latin typeface="Segoe UI "/>
                <a:ea typeface="Segoe UI Black" panose="020B0A02040204020203" pitchFamily="34" charset="0"/>
                <a:cs typeface="+mn-cs"/>
              </a:defRPr>
            </a:pPr>
            <a:r>
              <a:rPr lang="pt-BR" sz="1250" b="1">
                <a:solidFill>
                  <a:srgbClr val="D9A404"/>
                </a:solidFill>
                <a:latin typeface="Segoe UI "/>
                <a:ea typeface="Segoe UI Black" panose="020B0A02040204020203" pitchFamily="34" charset="0"/>
              </a:rPr>
              <a:t>Patrimônio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50" b="1" i="0" u="none" strike="noStrike" kern="1200" spc="0" baseline="0">
              <a:solidFill>
                <a:srgbClr val="D9A404"/>
              </a:solidFill>
              <a:latin typeface="Segoe UI "/>
              <a:ea typeface="Segoe UI Black" panose="020B0A02040204020203" pitchFamily="34" charset="0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spPr>
            <a:solidFill>
              <a:srgbClr val="FFF3C1"/>
            </a:solidFill>
            <a:ln>
              <a:noFill/>
            </a:ln>
            <a:effectLst/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Simulador!$B$81:$B$86</c15:sqref>
                  </c15:fullRef>
                </c:ext>
              </c:extLst>
              <c:f>Simulador!$B$82:$B$86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Simulador!$D$81:$D$86</c15:sqref>
                  </c15:fullRef>
                </c:ext>
              </c:extLst>
              <c:f>Simulador!$D$82:$D$86</c:f>
              <c:numCache>
                <c:formatCode>"R$"\ #,##0.00</c:formatCode>
                <c:ptCount val="5"/>
                <c:pt idx="0">
                  <c:v>13613.813648822608</c:v>
                </c:pt>
                <c:pt idx="1">
                  <c:v>41888.456999243819</c:v>
                </c:pt>
                <c:pt idx="2">
                  <c:v>121642.1062650861</c:v>
                </c:pt>
                <c:pt idx="3">
                  <c:v>562599.20004854025</c:v>
                </c:pt>
                <c:pt idx="4">
                  <c:v>2161084.8275023573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B-4308-858F-5A5A62ED1A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67863952"/>
        <c:axId val="1607139152"/>
      </c:areaChart>
      <c:lineChart>
        <c:grouping val="stacked"/>
        <c:varyColors val="0"/>
        <c:ser>
          <c:idx val="0"/>
          <c:order val="0"/>
          <c:spPr>
            <a:ln w="12700" cap="rnd">
              <a:solidFill>
                <a:srgbClr val="D9A40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9A404"/>
              </a:solidFill>
              <a:ln w="12700">
                <a:solidFill>
                  <a:srgbClr val="D9A40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985028342454209E-2"/>
                  <c:y val="-6.1038484393023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9B-4308-858F-5A5A62ED1A45}"/>
                </c:ext>
              </c:extLst>
            </c:dLbl>
            <c:dLbl>
              <c:idx val="1"/>
              <c:layout>
                <c:manualLayout>
                  <c:x val="-8.824779224620305E-2"/>
                  <c:y val="-5.5489531266384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9B-4308-858F-5A5A62ED1A45}"/>
                </c:ext>
              </c:extLst>
            </c:dLbl>
            <c:dLbl>
              <c:idx val="2"/>
              <c:layout>
                <c:manualLayout>
                  <c:x val="-0.10182437566869582"/>
                  <c:y val="-4.9940578139746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9B-4308-858F-5A5A62ED1A45}"/>
                </c:ext>
              </c:extLst>
            </c:dLbl>
            <c:dLbl>
              <c:idx val="3"/>
              <c:layout>
                <c:manualLayout>
                  <c:x val="-0.13576583422492763"/>
                  <c:y val="-4.9940578139746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9B-4308-858F-5A5A62ED1A45}"/>
                </c:ext>
              </c:extLst>
            </c:dLbl>
            <c:dLbl>
              <c:idx val="4"/>
              <c:layout>
                <c:manualLayout>
                  <c:x val="-2.7153166844985695E-2"/>
                  <c:y val="-6.6587437519661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9B-4308-858F-5A5A62ED1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Simulador!$B$81:$B$86</c15:sqref>
                  </c15:fullRef>
                </c:ext>
              </c:extLst>
              <c:f>Simulador!$B$82:$B$86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Simulador!$C$81:$C$86</c15:sqref>
                  </c15:fullRef>
                </c:ext>
              </c:extLst>
              <c:f>Simulador!$C$82:$C$86</c:f>
              <c:numCache>
                <c:formatCode>"R$"\ #,##0.00</c:formatCode>
                <c:ptCount val="5"/>
                <c:pt idx="0">
                  <c:v>13613.813648822608</c:v>
                </c:pt>
                <c:pt idx="1">
                  <c:v>41888.456999243819</c:v>
                </c:pt>
                <c:pt idx="2">
                  <c:v>121642.1062650861</c:v>
                </c:pt>
                <c:pt idx="3">
                  <c:v>562599.20004854025</c:v>
                </c:pt>
                <c:pt idx="4">
                  <c:v>2161084.8275023573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B-4308-858F-5A5A62ED1A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67863952"/>
        <c:axId val="1607139152"/>
      </c:lineChart>
      <c:catAx>
        <c:axId val="186786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7139152"/>
        <c:crosses val="autoZero"/>
        <c:auto val="1"/>
        <c:lblAlgn val="ctr"/>
        <c:lblOffset val="100"/>
        <c:noMultiLvlLbl val="0"/>
      </c:catAx>
      <c:valAx>
        <c:axId val="16071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EA"/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86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50" b="1" i="0" u="none" strike="noStrike" kern="1200" spc="0" baseline="0">
                <a:solidFill>
                  <a:srgbClr val="D9A404"/>
                </a:solidFill>
                <a:latin typeface="Segoe UI "/>
                <a:ea typeface="+mn-ea"/>
                <a:cs typeface="+mn-cs"/>
              </a:defRPr>
            </a:pPr>
            <a:r>
              <a:rPr lang="pt-BR" sz="1250" b="1">
                <a:solidFill>
                  <a:srgbClr val="D9A404"/>
                </a:solidFill>
                <a:latin typeface="Segoe UI "/>
              </a:rPr>
              <a:t>Dividendos</a:t>
            </a:r>
            <a:r>
              <a:rPr lang="pt-BR" sz="1250" b="1" baseline="0">
                <a:solidFill>
                  <a:srgbClr val="D9A404"/>
                </a:solidFill>
                <a:latin typeface="Segoe UI "/>
              </a:rPr>
              <a:t> Mensais</a:t>
            </a:r>
            <a:endParaRPr lang="pt-BR" sz="1250" b="1">
              <a:solidFill>
                <a:srgbClr val="D9A404"/>
              </a:solidFill>
              <a:latin typeface="Segoe UI 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50" b="1" i="0" u="none" strike="noStrike" kern="1200" spc="0" baseline="0">
              <a:solidFill>
                <a:srgbClr val="D9A404"/>
              </a:solidFill>
              <a:latin typeface="Segoe UI 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spPr>
            <a:solidFill>
              <a:srgbClr val="FFF5CD"/>
            </a:solidFill>
            <a:ln>
              <a:noFill/>
            </a:ln>
            <a:effectLst/>
          </c:spP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Simulador!$B$89:$B$94</c15:sqref>
                  </c15:fullRef>
                </c:ext>
              </c:extLst>
              <c:f>Simulador!$B$90:$B$94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Simulador!$D$89:$D$94</c15:sqref>
                  </c15:fullRef>
                </c:ext>
              </c:extLst>
              <c:f>Simulador!$D$90:$D$94</c:f>
              <c:numCache>
                <c:formatCode>"R$"\ #,##0.00</c:formatCode>
                <c:ptCount val="5"/>
                <c:pt idx="0">
                  <c:v>81.682881892935654</c:v>
                </c:pt>
                <c:pt idx="1">
                  <c:v>251.33074199546292</c:v>
                </c:pt>
                <c:pt idx="2">
                  <c:v>729.85263759051657</c:v>
                </c:pt>
                <c:pt idx="3">
                  <c:v>3375.5952002912418</c:v>
                </c:pt>
                <c:pt idx="4">
                  <c:v>12966.508965014144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E-48DA-8C8C-0AEA0CD9D2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67843072"/>
        <c:axId val="1607135312"/>
      </c:areaChart>
      <c:lineChart>
        <c:grouping val="stacked"/>
        <c:varyColors val="0"/>
        <c:ser>
          <c:idx val="0"/>
          <c:order val="0"/>
          <c:spPr>
            <a:ln w="12700" cap="rnd">
              <a:solidFill>
                <a:srgbClr val="E8C34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8C34A"/>
              </a:solidFill>
              <a:ln w="12700">
                <a:solidFill>
                  <a:srgbClr val="E8C34A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812301580821377E-2"/>
                  <c:y val="-4.5692566183263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9E-48DA-8C8C-0AEA0CD9D25D}"/>
                </c:ext>
              </c:extLst>
            </c:dLbl>
            <c:dLbl>
              <c:idx val="1"/>
              <c:layout>
                <c:manualLayout>
                  <c:x val="-8.4493531738903491E-2"/>
                  <c:y val="-5.0769517981403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9E-48DA-8C8C-0AEA0CD9D25D}"/>
                </c:ext>
              </c:extLst>
            </c:dLbl>
            <c:dLbl>
              <c:idx val="2"/>
              <c:layout>
                <c:manualLayout>
                  <c:x val="-0.11275246854754599"/>
                  <c:y val="-4.5707616238695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9E-48DA-8C8C-0AEA0CD9D25D}"/>
                </c:ext>
              </c:extLst>
            </c:dLbl>
            <c:dLbl>
              <c:idx val="3"/>
              <c:layout>
                <c:manualLayout>
                  <c:x val="-0.15427847258943855"/>
                  <c:y val="-5.0517054356996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9E-48DA-8C8C-0AEA0CD9D25D}"/>
                </c:ext>
              </c:extLst>
            </c:dLbl>
            <c:dLbl>
              <c:idx val="4"/>
              <c:layout>
                <c:manualLayout>
                  <c:x val="-4.0966594561706003E-2"/>
                  <c:y val="-4.5768350006026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9E-48DA-8C8C-0AEA0CD9D2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Simulador!$B$89:$B$94</c15:sqref>
                  </c15:fullRef>
                </c:ext>
              </c:extLst>
              <c:f>Simulador!$B$90:$B$94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Simulador!$C$89:$C$94</c15:sqref>
                  </c15:fullRef>
                </c:ext>
              </c:extLst>
              <c:f>Simulador!$C$90:$C$94</c:f>
              <c:numCache>
                <c:formatCode>"R$"\ #,##0.00</c:formatCode>
                <c:ptCount val="5"/>
                <c:pt idx="0">
                  <c:v>81.682881892935654</c:v>
                </c:pt>
                <c:pt idx="1">
                  <c:v>251.33074199546292</c:v>
                </c:pt>
                <c:pt idx="2">
                  <c:v>729.85263759051657</c:v>
                </c:pt>
                <c:pt idx="3">
                  <c:v>3375.5952002912418</c:v>
                </c:pt>
                <c:pt idx="4">
                  <c:v>12966.508965014144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E-48DA-8C8C-0AEA0CD9D2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67843072"/>
        <c:axId val="1607135312"/>
      </c:lineChart>
      <c:catAx>
        <c:axId val="186784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7135312"/>
        <c:crosses val="autoZero"/>
        <c:auto val="1"/>
        <c:lblAlgn val="ctr"/>
        <c:lblOffset val="100"/>
        <c:noMultiLvlLbl val="0"/>
      </c:catAx>
      <c:valAx>
        <c:axId val="16071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EA"/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84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jpe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2074333</xdr:colOff>
      <xdr:row>54</xdr:row>
      <xdr:rowOff>114195</xdr:rowOff>
    </xdr:from>
    <xdr:to>
      <xdr:col>3</xdr:col>
      <xdr:colOff>1830917</xdr:colOff>
      <xdr:row>71</xdr:row>
      <xdr:rowOff>52924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085898-360F-1424-858F-89BB93A7A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31</xdr:row>
      <xdr:rowOff>134712</xdr:rowOff>
    </xdr:from>
    <xdr:to>
      <xdr:col>2</xdr:col>
      <xdr:colOff>2202656</xdr:colOff>
      <xdr:row>42</xdr:row>
      <xdr:rowOff>13607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4308306-357B-B011-DEC9-A68554A2A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2488406</xdr:colOff>
      <xdr:row>31</xdr:row>
      <xdr:rowOff>98824</xdr:rowOff>
    </xdr:from>
    <xdr:to>
      <xdr:col>6</xdr:col>
      <xdr:colOff>-1</xdr:colOff>
      <xdr:row>43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95FC8EC-2E7B-BCEE-3AC6-4FB90B36C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819151</xdr:colOff>
      <xdr:row>44</xdr:row>
      <xdr:rowOff>71437</xdr:rowOff>
    </xdr:from>
    <xdr:to>
      <xdr:col>4</xdr:col>
      <xdr:colOff>1100138</xdr:colOff>
      <xdr:row>44</xdr:row>
      <xdr:rowOff>356712</xdr:rowOff>
    </xdr:to>
    <xdr:pic>
      <xdr:nvPicPr>
        <xdr:cNvPr id="13" name="Gráfico 12" descr="Filtro estrutura de tópicos">
          <a:extLst>
            <a:ext uri="{FF2B5EF4-FFF2-40B4-BE49-F238E27FC236}">
              <a16:creationId xmlns:a16="http://schemas.microsoft.com/office/drawing/2014/main" id="{5A17E1D4-96BE-FDBC-114E-19E388441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34526" y="10715625"/>
          <a:ext cx="280987" cy="285275"/>
        </a:xfrm>
        <a:prstGeom prst="rect">
          <a:avLst/>
        </a:prstGeom>
      </xdr:spPr>
    </xdr:pic>
    <xdr:clientData/>
  </xdr:twoCellAnchor>
  <xdr:twoCellAnchor editAs="oneCell">
    <xdr:from>
      <xdr:col>0</xdr:col>
      <xdr:colOff>258020</xdr:colOff>
      <xdr:row>0</xdr:row>
      <xdr:rowOff>57545</xdr:rowOff>
    </xdr:from>
    <xdr:to>
      <xdr:col>7</xdr:col>
      <xdr:colOff>9921</xdr:colOff>
      <xdr:row>9</xdr:row>
      <xdr:rowOff>83679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AFC4961-9A51-8855-AEC7-93B0A8AC27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7" t="2996" r="2559" b="49626"/>
        <a:stretch>
          <a:fillRect/>
        </a:stretch>
      </xdr:blipFill>
      <xdr:spPr bwMode="auto">
        <a:xfrm>
          <a:off x="258020" y="57545"/>
          <a:ext cx="9842448" cy="172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7BDE-9951-4C04-B1C6-B9A4B9F0030C}">
  <sheetPr>
    <pageSetUpPr autoPageBreaks="0"/>
  </sheetPr>
  <dimension ref="A11:O103"/>
  <sheetViews>
    <sheetView showGridLines="0" showRowColHeaders="0" tabSelected="1" zoomScale="96" zoomScaleNormal="96" zoomScaleSheetLayoutView="40" workbookViewId="0">
      <selection activeCell="G98" sqref="G98"/>
    </sheetView>
  </sheetViews>
  <sheetFormatPr defaultColWidth="0" defaultRowHeight="15"/>
  <cols>
    <col min="1" max="1" width="4.85546875" customWidth="1"/>
    <col min="2" max="2" width="52.42578125" bestFit="1" customWidth="1"/>
    <col min="3" max="3" width="30.5703125" bestFit="1" customWidth="1"/>
    <col min="4" max="4" width="42.85546875" customWidth="1"/>
    <col min="5" max="5" width="18" customWidth="1"/>
    <col min="6" max="6" width="0.7109375" customWidth="1"/>
    <col min="7" max="7" width="2" customWidth="1"/>
    <col min="8" max="8" width="6.7109375" customWidth="1"/>
    <col min="9" max="9" width="31.85546875" hidden="1" customWidth="1"/>
    <col min="10" max="10" width="2" hidden="1" customWidth="1"/>
    <col min="11" max="12" width="9.140625" hidden="1" customWidth="1"/>
    <col min="13" max="13" width="41.140625" hidden="1" customWidth="1"/>
    <col min="14" max="14" width="30.42578125" hidden="1" customWidth="1"/>
    <col min="15" max="16384" width="9.140625" hidden="1"/>
  </cols>
  <sheetData>
    <row r="11" spans="2:5" ht="27" customHeight="1">
      <c r="B11" s="101" t="s">
        <v>52</v>
      </c>
    </row>
    <row r="12" spans="2:5" ht="17.25" customHeight="1" thickBot="1"/>
    <row r="13" spans="2:5" ht="33.75" customHeight="1">
      <c r="B13" s="72" t="s">
        <v>19</v>
      </c>
      <c r="C13" s="73"/>
      <c r="D13" s="73"/>
      <c r="E13" s="74"/>
    </row>
    <row r="14" spans="2:5" ht="22.5" customHeight="1">
      <c r="B14" s="92" t="s">
        <v>17</v>
      </c>
      <c r="C14" s="93"/>
      <c r="D14" s="94"/>
      <c r="E14" s="33">
        <v>3400</v>
      </c>
    </row>
    <row r="15" spans="2:5" ht="22.5" customHeight="1">
      <c r="B15" s="95" t="s">
        <v>18</v>
      </c>
      <c r="C15" s="96"/>
      <c r="D15" s="97"/>
      <c r="E15" s="34">
        <v>6.0000000000000001E-3</v>
      </c>
    </row>
    <row r="16" spans="2:5" ht="22.5" customHeight="1" thickBot="1">
      <c r="B16" s="98" t="s">
        <v>37</v>
      </c>
      <c r="C16" s="99"/>
      <c r="D16" s="100"/>
      <c r="E16" s="32">
        <f>E14*30%</f>
        <v>1020</v>
      </c>
    </row>
    <row r="17" spans="1:5" ht="21" customHeight="1" thickBot="1"/>
    <row r="18" spans="1:5" ht="34.5" customHeight="1">
      <c r="B18" s="89" t="s">
        <v>6</v>
      </c>
      <c r="C18" s="90"/>
      <c r="D18" s="90"/>
      <c r="E18" s="91"/>
    </row>
    <row r="19" spans="1:5" ht="17.25">
      <c r="B19" s="77" t="s">
        <v>1</v>
      </c>
      <c r="C19" s="78"/>
      <c r="D19" s="79"/>
      <c r="E19" s="33">
        <v>500</v>
      </c>
    </row>
    <row r="20" spans="1:5" ht="17.25">
      <c r="B20" s="80" t="s">
        <v>10</v>
      </c>
      <c r="C20" s="81"/>
      <c r="D20" s="82"/>
      <c r="E20" s="37">
        <v>10</v>
      </c>
    </row>
    <row r="21" spans="1:5" ht="17.25">
      <c r="B21" s="80" t="s">
        <v>9</v>
      </c>
      <c r="C21" s="81"/>
      <c r="D21" s="82"/>
      <c r="E21" s="38">
        <v>1.0789999999999999E-2</v>
      </c>
    </row>
    <row r="22" spans="1:5" ht="17.25">
      <c r="B22" s="83" t="s">
        <v>7</v>
      </c>
      <c r="C22" s="84"/>
      <c r="D22" s="85"/>
      <c r="E22" s="35">
        <f>FV(taxa_mensal,qtd_anos*12,aporte*-1)</f>
        <v>121642.1062650861</v>
      </c>
    </row>
    <row r="23" spans="1:5" ht="18" thickBot="1">
      <c r="B23" s="86" t="s">
        <v>8</v>
      </c>
      <c r="C23" s="87"/>
      <c r="D23" s="88"/>
      <c r="E23" s="36">
        <f>patrimonio*rendimento_carteira</f>
        <v>729.85263759051657</v>
      </c>
    </row>
    <row r="24" spans="1:5" ht="20.25" customHeight="1" thickBot="1"/>
    <row r="25" spans="1:5" ht="34.5" customHeight="1">
      <c r="B25" s="75" t="s">
        <v>16</v>
      </c>
      <c r="C25" s="76"/>
      <c r="D25" s="76"/>
      <c r="E25" s="49"/>
    </row>
    <row r="26" spans="1:5" ht="19.5" customHeight="1">
      <c r="B26" s="51" t="s">
        <v>49</v>
      </c>
      <c r="C26" s="52" t="s">
        <v>51</v>
      </c>
      <c r="D26" s="52" t="s">
        <v>50</v>
      </c>
      <c r="E26" s="21" t="s">
        <v>40</v>
      </c>
    </row>
    <row r="27" spans="1:5" ht="17.25">
      <c r="A27" s="4">
        <v>2</v>
      </c>
      <c r="B27" s="17" t="s">
        <v>11</v>
      </c>
      <c r="C27" s="18">
        <f>A27*aporte*12</f>
        <v>12000</v>
      </c>
      <c r="D27" s="41">
        <f>FV($E$21,$A27*12,$E$19*-1)</f>
        <v>13613.813648822608</v>
      </c>
      <c r="E27" s="50">
        <f>D27*rendimento_carteira</f>
        <v>81.682881892935654</v>
      </c>
    </row>
    <row r="28" spans="1:5" ht="17.25">
      <c r="A28" s="4">
        <v>5</v>
      </c>
      <c r="B28" s="17" t="s">
        <v>12</v>
      </c>
      <c r="C28" s="18">
        <f>A28*aporte*12</f>
        <v>30000</v>
      </c>
      <c r="D28" s="41">
        <f>FV($E$21,$A28*12,$E$19*-1)</f>
        <v>41888.456999243819</v>
      </c>
      <c r="E28" s="39">
        <f>D28*rendimento_carteira</f>
        <v>251.33074199546292</v>
      </c>
    </row>
    <row r="29" spans="1:5" ht="17.25">
      <c r="A29" s="4">
        <v>10</v>
      </c>
      <c r="B29" s="17" t="s">
        <v>13</v>
      </c>
      <c r="C29" s="18">
        <f>A29*aporte*12</f>
        <v>60000</v>
      </c>
      <c r="D29" s="41">
        <f>FV($E$21,$A29*12,$E$19*-1)</f>
        <v>121642.1062650861</v>
      </c>
      <c r="E29" s="39">
        <f>D29*rendimento_carteira</f>
        <v>729.85263759051657</v>
      </c>
    </row>
    <row r="30" spans="1:5" ht="17.25">
      <c r="A30" s="4">
        <v>20</v>
      </c>
      <c r="B30" s="17" t="s">
        <v>14</v>
      </c>
      <c r="C30" s="18">
        <f>A30*aporte*12</f>
        <v>120000</v>
      </c>
      <c r="D30" s="41">
        <f>FV($E$21,$A30*12,$E$19*-1)</f>
        <v>562599.20004854025</v>
      </c>
      <c r="E30" s="39">
        <f>D30*rendimento_carteira</f>
        <v>3375.5952002912418</v>
      </c>
    </row>
    <row r="31" spans="1:5" ht="18" thickBot="1">
      <c r="A31" s="4">
        <v>30</v>
      </c>
      <c r="B31" s="19" t="s">
        <v>15</v>
      </c>
      <c r="C31" s="20">
        <f>A31*aporte*12</f>
        <v>180000</v>
      </c>
      <c r="D31" s="42">
        <f>FV($E$21,$A31*12,$E$19*-1)</f>
        <v>2161084.8275023573</v>
      </c>
      <c r="E31" s="40">
        <f>D31*rendimento_carteira</f>
        <v>12966.508965014144</v>
      </c>
    </row>
    <row r="32" spans="1:5" ht="20.25" customHeight="1"/>
    <row r="33" spans="2:5" ht="34.5" customHeight="1"/>
    <row r="44" spans="2:5" ht="21.75" customHeight="1" thickBot="1"/>
    <row r="45" spans="2:5" ht="33.75" customHeight="1">
      <c r="B45" s="43" t="s">
        <v>41</v>
      </c>
      <c r="C45" s="8"/>
      <c r="D45" s="9" t="s">
        <v>34</v>
      </c>
      <c r="E45" s="7"/>
    </row>
    <row r="46" spans="2:5" ht="17.25" customHeight="1">
      <c r="B46" s="10" t="s">
        <v>22</v>
      </c>
      <c r="C46" s="11"/>
      <c r="D46" s="44">
        <f>aporte</f>
        <v>500</v>
      </c>
      <c r="E46" s="12"/>
    </row>
    <row r="47" spans="2:5">
      <c r="B47" s="5"/>
      <c r="E47" s="6"/>
    </row>
    <row r="48" spans="2:5" ht="19.5" customHeight="1">
      <c r="B48" s="53" t="s">
        <v>42</v>
      </c>
      <c r="C48" s="54"/>
      <c r="D48" s="54" t="s">
        <v>24</v>
      </c>
      <c r="E48" s="55" t="s">
        <v>25</v>
      </c>
    </row>
    <row r="49" spans="2:15" ht="17.25">
      <c r="B49" s="13" t="s">
        <v>26</v>
      </c>
      <c r="C49" s="14"/>
      <c r="D49" s="45">
        <f>VLOOKUP($D$45&amp;"-"&amp;B49,'Tabela de apoio para perfis e %'!$B:$E,4,FALSE)</f>
        <v>0.32</v>
      </c>
      <c r="E49" s="46">
        <f t="shared" ref="E49:E54" si="0">D49*$D$46</f>
        <v>160</v>
      </c>
    </row>
    <row r="50" spans="2:15" ht="17.25">
      <c r="B50" s="13" t="s">
        <v>27</v>
      </c>
      <c r="C50" s="14"/>
      <c r="D50" s="45">
        <f>VLOOKUP($D$45&amp;"-"&amp;B50,'Tabela de apoio para perfis e %'!$B:$E,4,FALSE)</f>
        <v>0.35</v>
      </c>
      <c r="E50" s="46">
        <f t="shared" si="0"/>
        <v>175</v>
      </c>
    </row>
    <row r="51" spans="2:15" ht="17.25">
      <c r="B51" s="13" t="s">
        <v>28</v>
      </c>
      <c r="C51" s="14"/>
      <c r="D51" s="45">
        <f>VLOOKUP($D$45&amp;"-"&amp;B51,'Tabela de apoio para perfis e %'!$B:$E,4,FALSE)</f>
        <v>0.08</v>
      </c>
      <c r="E51" s="46">
        <f t="shared" si="0"/>
        <v>40</v>
      </c>
    </row>
    <row r="52" spans="2:15" ht="17.25">
      <c r="B52" s="13" t="s">
        <v>29</v>
      </c>
      <c r="C52" s="14"/>
      <c r="D52" s="45">
        <f>VLOOKUP($D$45&amp;"-"&amp;B52,'Tabela de apoio para perfis e %'!$B:$E,4,FALSE)</f>
        <v>0.05</v>
      </c>
      <c r="E52" s="46">
        <f t="shared" si="0"/>
        <v>25</v>
      </c>
    </row>
    <row r="53" spans="2:15" ht="17.25">
      <c r="B53" s="13" t="s">
        <v>30</v>
      </c>
      <c r="C53" s="14"/>
      <c r="D53" s="45">
        <f>VLOOKUP($D$45&amp;"-"&amp;B53,'Tabela de apoio para perfis e %'!$B:$E,4,FALSE)</f>
        <v>0.1</v>
      </c>
      <c r="E53" s="46">
        <f t="shared" si="0"/>
        <v>50</v>
      </c>
    </row>
    <row r="54" spans="2:15" ht="18" thickBot="1">
      <c r="B54" s="15" t="s">
        <v>31</v>
      </c>
      <c r="C54" s="16"/>
      <c r="D54" s="47">
        <f>VLOOKUP($D$45&amp;"-"&amp;B54,'Tabela de apoio para perfis e %'!$B:$E,4,FALSE)</f>
        <v>0.1</v>
      </c>
      <c r="E54" s="48">
        <f t="shared" si="0"/>
        <v>50</v>
      </c>
    </row>
    <row r="55" spans="2:15">
      <c r="O55" s="27"/>
    </row>
    <row r="56" spans="2:15">
      <c r="O56" s="27"/>
    </row>
    <row r="57" spans="2:15">
      <c r="O57" s="27"/>
    </row>
    <row r="58" spans="2:15">
      <c r="O58" s="27"/>
    </row>
    <row r="59" spans="2:15">
      <c r="O59" s="27"/>
    </row>
    <row r="60" spans="2:15">
      <c r="O60" s="27"/>
    </row>
    <row r="61" spans="2:15">
      <c r="O61" s="27"/>
    </row>
    <row r="62" spans="2:15">
      <c r="O62" s="27"/>
    </row>
    <row r="63" spans="2:15">
      <c r="O63" s="27"/>
    </row>
    <row r="64" spans="2:15">
      <c r="O64" s="27"/>
    </row>
    <row r="65" spans="2:15">
      <c r="O65" s="27"/>
    </row>
    <row r="66" spans="2:15">
      <c r="O66" s="27"/>
    </row>
    <row r="67" spans="2:15">
      <c r="O67" s="27"/>
    </row>
    <row r="68" spans="2:15">
      <c r="O68" s="27"/>
    </row>
    <row r="69" spans="2:15">
      <c r="B69" s="31"/>
      <c r="C69" s="31"/>
      <c r="D69" s="31"/>
      <c r="O69" s="27"/>
    </row>
    <row r="72" spans="2:15">
      <c r="E72" s="31"/>
    </row>
    <row r="73" spans="2:15">
      <c r="E73" s="31"/>
    </row>
    <row r="74" spans="2:15">
      <c r="E74" s="31"/>
    </row>
    <row r="75" spans="2:15">
      <c r="E75" s="31"/>
    </row>
    <row r="76" spans="2:15">
      <c r="E76" s="31"/>
    </row>
    <row r="77" spans="2:15">
      <c r="E77" s="31"/>
    </row>
    <row r="78" spans="2:15">
      <c r="E78" s="31"/>
    </row>
    <row r="79" spans="2:15">
      <c r="B79" s="4"/>
      <c r="C79" s="4"/>
      <c r="D79" s="4"/>
      <c r="E79" s="31"/>
    </row>
    <row r="80" spans="2:15">
      <c r="B80" s="28" t="s">
        <v>53</v>
      </c>
      <c r="C80" s="28" t="s">
        <v>54</v>
      </c>
      <c r="D80" s="28" t="s">
        <v>54</v>
      </c>
      <c r="E80" s="31"/>
    </row>
    <row r="81" spans="2:5">
      <c r="B81" s="4" t="s">
        <v>43</v>
      </c>
      <c r="C81" s="22">
        <v>0</v>
      </c>
      <c r="D81" s="29">
        <v>0</v>
      </c>
      <c r="E81" s="31"/>
    </row>
    <row r="82" spans="2:5" ht="16.5">
      <c r="B82" s="23" t="s">
        <v>44</v>
      </c>
      <c r="C82" s="24">
        <f t="shared" ref="C82:D86" si="1">FV(taxa_mensal,$A27*12,aporte*-1)</f>
        <v>13613.813648822608</v>
      </c>
      <c r="D82" s="30">
        <f t="shared" si="1"/>
        <v>13613.813648822608</v>
      </c>
      <c r="E82" s="31"/>
    </row>
    <row r="83" spans="2:5" ht="16.5">
      <c r="B83" s="23" t="s">
        <v>45</v>
      </c>
      <c r="C83" s="24">
        <f t="shared" si="1"/>
        <v>41888.456999243819</v>
      </c>
      <c r="D83" s="30">
        <f t="shared" si="1"/>
        <v>41888.456999243819</v>
      </c>
      <c r="E83" s="31"/>
    </row>
    <row r="84" spans="2:5" ht="16.5">
      <c r="B84" s="23" t="s">
        <v>46</v>
      </c>
      <c r="C84" s="24">
        <f t="shared" si="1"/>
        <v>121642.1062650861</v>
      </c>
      <c r="D84" s="30">
        <f t="shared" si="1"/>
        <v>121642.1062650861</v>
      </c>
      <c r="E84" s="31"/>
    </row>
    <row r="85" spans="2:5" ht="16.5">
      <c r="B85" s="23" t="s">
        <v>47</v>
      </c>
      <c r="C85" s="24">
        <f t="shared" si="1"/>
        <v>562599.20004854025</v>
      </c>
      <c r="D85" s="30">
        <f t="shared" si="1"/>
        <v>562599.20004854025</v>
      </c>
      <c r="E85" s="31"/>
    </row>
    <row r="86" spans="2:5" ht="16.5">
      <c r="B86" s="23" t="s">
        <v>48</v>
      </c>
      <c r="C86" s="24">
        <f t="shared" si="1"/>
        <v>2161084.8275023573</v>
      </c>
      <c r="D86" s="30">
        <f t="shared" si="1"/>
        <v>2161084.8275023573</v>
      </c>
      <c r="E86" s="31"/>
    </row>
    <row r="87" spans="2:5">
      <c r="B87" s="4"/>
      <c r="C87" s="4"/>
      <c r="D87" s="4"/>
      <c r="E87" s="31"/>
    </row>
    <row r="88" spans="2:5">
      <c r="B88" s="23" t="s">
        <v>53</v>
      </c>
      <c r="C88" s="4" t="s">
        <v>55</v>
      </c>
      <c r="D88" s="4" t="s">
        <v>55</v>
      </c>
    </row>
    <row r="89" spans="2:5">
      <c r="B89" s="4" t="s">
        <v>43</v>
      </c>
      <c r="C89" s="25">
        <v>0</v>
      </c>
      <c r="D89" s="25">
        <v>0</v>
      </c>
    </row>
    <row r="90" spans="2:5" ht="16.5">
      <c r="B90" s="23" t="s">
        <v>44</v>
      </c>
      <c r="C90" s="26">
        <f>D27*rendimento_carteira</f>
        <v>81.682881892935654</v>
      </c>
      <c r="D90" s="26">
        <f>D27*rendimento_carteira</f>
        <v>81.682881892935654</v>
      </c>
    </row>
    <row r="91" spans="2:5" ht="16.5">
      <c r="B91" s="23" t="s">
        <v>45</v>
      </c>
      <c r="C91" s="26">
        <f>D28*rendimento_carteira</f>
        <v>251.33074199546292</v>
      </c>
      <c r="D91" s="26">
        <f>D28*rendimento_carteira</f>
        <v>251.33074199546292</v>
      </c>
    </row>
    <row r="92" spans="2:5" ht="16.5">
      <c r="B92" s="23" t="s">
        <v>46</v>
      </c>
      <c r="C92" s="26">
        <f>D29*rendimento_carteira</f>
        <v>729.85263759051657</v>
      </c>
      <c r="D92" s="26">
        <f>D29*rendimento_carteira</f>
        <v>729.85263759051657</v>
      </c>
    </row>
    <row r="93" spans="2:5" ht="16.5">
      <c r="B93" s="23" t="s">
        <v>47</v>
      </c>
      <c r="C93" s="26">
        <f>D30*rendimento_carteira</f>
        <v>3375.5952002912418</v>
      </c>
      <c r="D93" s="26">
        <f>D30*rendimento_carteira</f>
        <v>3375.5952002912418</v>
      </c>
    </row>
    <row r="94" spans="2:5" ht="16.5">
      <c r="B94" s="23" t="s">
        <v>48</v>
      </c>
      <c r="C94" s="26">
        <f>D31*rendimento_carteira</f>
        <v>12966.508965014144</v>
      </c>
      <c r="D94" s="26">
        <f>D31*rendimento_carteira</f>
        <v>12966.508965014144</v>
      </c>
    </row>
    <row r="95" spans="2:5">
      <c r="B95" s="4"/>
      <c r="C95" s="4"/>
      <c r="D95" s="4"/>
    </row>
    <row r="97" customFormat="1"/>
    <row r="98" customFormat="1"/>
    <row r="99" customFormat="1"/>
    <row r="100" customFormat="1"/>
    <row r="101" customFormat="1"/>
    <row r="102" customFormat="1"/>
    <row r="103" customFormat="1"/>
  </sheetData>
  <mergeCells count="11">
    <mergeCell ref="B13:E13"/>
    <mergeCell ref="B25:D25"/>
    <mergeCell ref="B19:D19"/>
    <mergeCell ref="B20:D20"/>
    <mergeCell ref="B21:D21"/>
    <mergeCell ref="B22:D22"/>
    <mergeCell ref="B23:D23"/>
    <mergeCell ref="B18:E18"/>
    <mergeCell ref="B14:D14"/>
    <mergeCell ref="B15:D15"/>
    <mergeCell ref="B16:D16"/>
  </mergeCells>
  <dataValidations disablePrompts="1" count="1">
    <dataValidation type="list" allowBlank="1" showInputMessage="1" showErrorMessage="1" sqref="D45" xr:uid="{3A3B45B7-C811-4440-A66C-6066A1B0448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185B-345D-4B07-BDDE-A911CD67DD44}">
  <dimension ref="B1:H20"/>
  <sheetViews>
    <sheetView showGridLines="0" showRowColHeaders="0" zoomScale="90" zoomScaleNormal="90" workbookViewId="0">
      <selection activeCell="H4" sqref="H4"/>
    </sheetView>
  </sheetViews>
  <sheetFormatPr defaultRowHeight="15"/>
  <cols>
    <col min="1" max="1" width="2.28515625" customWidth="1"/>
    <col min="2" max="2" width="32.5703125" customWidth="1"/>
    <col min="3" max="3" width="13.85546875" customWidth="1"/>
    <col min="4" max="4" width="22.5703125" bestFit="1" customWidth="1"/>
    <col min="7" max="7" width="18.7109375" bestFit="1" customWidth="1"/>
    <col min="8" max="8" width="8" customWidth="1"/>
    <col min="9" max="9" width="16.85546875" bestFit="1" customWidth="1"/>
    <col min="10" max="10" width="22.42578125" bestFit="1" customWidth="1"/>
    <col min="11" max="11" width="21.85546875" bestFit="1" customWidth="1"/>
  </cols>
  <sheetData>
    <row r="1" spans="2:8" ht="15.75" thickBot="1"/>
    <row r="2" spans="2:8" ht="16.5">
      <c r="B2" s="56" t="s">
        <v>33</v>
      </c>
      <c r="C2" s="57" t="s">
        <v>20</v>
      </c>
      <c r="D2" s="58" t="s">
        <v>23</v>
      </c>
      <c r="E2" s="59" t="s">
        <v>32</v>
      </c>
    </row>
    <row r="3" spans="2:8" ht="16.5">
      <c r="B3" s="60" t="str">
        <f>C3&amp;"-"&amp;D3</f>
        <v>Conservador-PAPEL</v>
      </c>
      <c r="C3" s="61" t="s">
        <v>21</v>
      </c>
      <c r="D3" s="62" t="s">
        <v>26</v>
      </c>
      <c r="E3" s="63">
        <v>0.3</v>
      </c>
    </row>
    <row r="4" spans="2:8" ht="16.5">
      <c r="B4" s="60" t="str">
        <f t="shared" ref="B4:B20" si="0">C4&amp;"-"&amp;D4</f>
        <v>Conservador-TIJOLO</v>
      </c>
      <c r="C4" s="61" t="s">
        <v>21</v>
      </c>
      <c r="D4" s="62" t="s">
        <v>27</v>
      </c>
      <c r="E4" s="63">
        <v>0.5</v>
      </c>
      <c r="G4" s="70" t="s">
        <v>36</v>
      </c>
      <c r="H4" s="71">
        <f>VLOOKUP(G4,$B:$E,4,FALSE)</f>
        <v>0.35</v>
      </c>
    </row>
    <row r="5" spans="2:8" ht="16.5">
      <c r="B5" s="60" t="str">
        <f t="shared" si="0"/>
        <v>Conservador-HÍBRIDOS</v>
      </c>
      <c r="C5" s="61" t="s">
        <v>21</v>
      </c>
      <c r="D5" s="62" t="s">
        <v>28</v>
      </c>
      <c r="E5" s="63">
        <v>0.1</v>
      </c>
    </row>
    <row r="6" spans="2:8" ht="16.5">
      <c r="B6" s="60" t="str">
        <f t="shared" si="0"/>
        <v>Conservador-FOFs</v>
      </c>
      <c r="C6" s="61" t="s">
        <v>21</v>
      </c>
      <c r="D6" s="62" t="s">
        <v>29</v>
      </c>
      <c r="E6" s="63">
        <v>0.1</v>
      </c>
    </row>
    <row r="7" spans="2:8" ht="16.5">
      <c r="B7" s="60" t="str">
        <f t="shared" si="0"/>
        <v>Conservador-DESENVOLVIMENTO</v>
      </c>
      <c r="C7" s="61" t="s">
        <v>21</v>
      </c>
      <c r="D7" s="62" t="s">
        <v>30</v>
      </c>
      <c r="E7" s="63">
        <v>0</v>
      </c>
    </row>
    <row r="8" spans="2:8" ht="17.25" thickBot="1">
      <c r="B8" s="64" t="str">
        <f t="shared" si="0"/>
        <v>Conservador-HOTELARIAS</v>
      </c>
      <c r="C8" s="65" t="s">
        <v>21</v>
      </c>
      <c r="D8" s="66" t="s">
        <v>31</v>
      </c>
      <c r="E8" s="67">
        <v>0</v>
      </c>
    </row>
    <row r="9" spans="2:8" ht="16.5">
      <c r="B9" s="60" t="str">
        <f t="shared" si="0"/>
        <v>Moderado-PAPEL</v>
      </c>
      <c r="C9" s="61" t="s">
        <v>34</v>
      </c>
      <c r="D9" s="62" t="s">
        <v>26</v>
      </c>
      <c r="E9" s="68">
        <v>0.32</v>
      </c>
    </row>
    <row r="10" spans="2:8" ht="16.5">
      <c r="B10" s="60" t="str">
        <f t="shared" si="0"/>
        <v>Moderado-TIJOLO</v>
      </c>
      <c r="C10" s="61" t="s">
        <v>34</v>
      </c>
      <c r="D10" s="62" t="s">
        <v>27</v>
      </c>
      <c r="E10" s="68">
        <v>0.35</v>
      </c>
    </row>
    <row r="11" spans="2:8" ht="16.5">
      <c r="B11" s="60" t="str">
        <f t="shared" si="0"/>
        <v>Moderado-HÍBRIDOS</v>
      </c>
      <c r="C11" s="61" t="s">
        <v>34</v>
      </c>
      <c r="D11" s="62" t="s">
        <v>28</v>
      </c>
      <c r="E11" s="68">
        <v>0.08</v>
      </c>
    </row>
    <row r="12" spans="2:8" ht="16.5">
      <c r="B12" s="60" t="str">
        <f t="shared" si="0"/>
        <v>Moderado-FOFs</v>
      </c>
      <c r="C12" s="61" t="s">
        <v>34</v>
      </c>
      <c r="D12" s="62" t="s">
        <v>29</v>
      </c>
      <c r="E12" s="68">
        <v>0.05</v>
      </c>
    </row>
    <row r="13" spans="2:8" ht="16.5">
      <c r="B13" s="60" t="str">
        <f t="shared" si="0"/>
        <v>Moderado-DESENVOLVIMENTO</v>
      </c>
      <c r="C13" s="61" t="s">
        <v>34</v>
      </c>
      <c r="D13" s="62" t="s">
        <v>30</v>
      </c>
      <c r="E13" s="68">
        <v>0.1</v>
      </c>
    </row>
    <row r="14" spans="2:8" ht="17.25" thickBot="1">
      <c r="B14" s="64" t="str">
        <f t="shared" si="0"/>
        <v>Moderado-HOTELARIAS</v>
      </c>
      <c r="C14" s="65" t="s">
        <v>34</v>
      </c>
      <c r="D14" s="66" t="s">
        <v>31</v>
      </c>
      <c r="E14" s="69">
        <v>0.1</v>
      </c>
    </row>
    <row r="15" spans="2:8" ht="16.5">
      <c r="B15" s="60" t="str">
        <f t="shared" si="0"/>
        <v>Agressivo-PAPEL</v>
      </c>
      <c r="C15" s="61" t="s">
        <v>35</v>
      </c>
      <c r="D15" s="62" t="s">
        <v>26</v>
      </c>
      <c r="E15" s="68">
        <v>0.5</v>
      </c>
    </row>
    <row r="16" spans="2:8" ht="16.5">
      <c r="B16" s="60" t="str">
        <f t="shared" si="0"/>
        <v>Agressivo-TIJOLO</v>
      </c>
      <c r="C16" s="61" t="s">
        <v>35</v>
      </c>
      <c r="D16" s="62" t="s">
        <v>27</v>
      </c>
      <c r="E16" s="68">
        <v>0.1</v>
      </c>
    </row>
    <row r="17" spans="2:5" ht="16.5">
      <c r="B17" s="60" t="str">
        <f t="shared" si="0"/>
        <v>Agressivo-HÍBRIDOS</v>
      </c>
      <c r="C17" s="61" t="s">
        <v>35</v>
      </c>
      <c r="D17" s="62" t="s">
        <v>28</v>
      </c>
      <c r="E17" s="68">
        <v>0.05</v>
      </c>
    </row>
    <row r="18" spans="2:5" ht="16.5">
      <c r="B18" s="60" t="str">
        <f t="shared" si="0"/>
        <v>Agressivo-FOFs</v>
      </c>
      <c r="C18" s="61" t="s">
        <v>35</v>
      </c>
      <c r="D18" s="62" t="s">
        <v>29</v>
      </c>
      <c r="E18" s="68">
        <v>0.05</v>
      </c>
    </row>
    <row r="19" spans="2:5" ht="16.5">
      <c r="B19" s="60" t="str">
        <f t="shared" si="0"/>
        <v>Agressivo-DESENVOLVIMENTO</v>
      </c>
      <c r="C19" s="61" t="s">
        <v>35</v>
      </c>
      <c r="D19" s="62" t="s">
        <v>30</v>
      </c>
      <c r="E19" s="68">
        <v>0.2</v>
      </c>
    </row>
    <row r="20" spans="2:5" ht="17.25" thickBot="1">
      <c r="B20" s="64" t="str">
        <f t="shared" si="0"/>
        <v>Agressivo-HOTELARIAS</v>
      </c>
      <c r="C20" s="65" t="s">
        <v>35</v>
      </c>
      <c r="D20" s="66" t="s">
        <v>31</v>
      </c>
      <c r="E20" s="69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7D32-8B1C-4632-874E-467690B00F6D}">
  <dimension ref="B2:B13"/>
  <sheetViews>
    <sheetView workbookViewId="0">
      <selection activeCell="B14" sqref="B14"/>
    </sheetView>
  </sheetViews>
  <sheetFormatPr defaultRowHeight="15"/>
  <cols>
    <col min="2" max="2" width="49.42578125" bestFit="1" customWidth="1"/>
  </cols>
  <sheetData>
    <row r="2" spans="2:2">
      <c r="B2" s="1" t="s">
        <v>0</v>
      </c>
    </row>
    <row r="3" spans="2:2">
      <c r="B3" s="2"/>
    </row>
    <row r="4" spans="2:2">
      <c r="B4" s="2" t="s">
        <v>1</v>
      </c>
    </row>
    <row r="5" spans="2:2">
      <c r="B5" s="2" t="s">
        <v>2</v>
      </c>
    </row>
    <row r="6" spans="2:2">
      <c r="B6" s="2" t="s">
        <v>3</v>
      </c>
    </row>
    <row r="7" spans="2:2">
      <c r="B7" s="2"/>
    </row>
    <row r="8" spans="2:2">
      <c r="B8" s="2" t="s">
        <v>4</v>
      </c>
    </row>
    <row r="9" spans="2:2">
      <c r="B9" s="3" t="s">
        <v>5</v>
      </c>
    </row>
    <row r="12" spans="2:2">
      <c r="B12" t="s">
        <v>38</v>
      </c>
    </row>
    <row r="13" spans="2:2">
      <c r="B13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Simulador</vt:lpstr>
      <vt:lpstr>Tabela de apoio para perfis e %</vt:lpstr>
      <vt:lpstr>Pergunta de negócio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LUIZA LEITE SILVA</dc:creator>
  <cp:lastModifiedBy>MARIA LUIZA LEITE SILVA</cp:lastModifiedBy>
  <dcterms:created xsi:type="dcterms:W3CDTF">2026-09-05T19:18:19Z</dcterms:created>
  <dcterms:modified xsi:type="dcterms:W3CDTF">2026-09-10T14:31:41Z</dcterms:modified>
</cp:coreProperties>
</file>